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Tech Companies" sheetId="1" state="visible" r:id="rId1"/>
  </sheets>
  <definedNames>
    <definedName name="_xlnm._FilterDatabase" localSheetId="0" hidden="1">'Top Tech Companies'!$A$3:$C$23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color rgb="000066CC"/>
      <sz val="10"/>
      <u val="single"/>
    </font>
  </fonts>
  <fills count="5">
    <fill>
      <patternFill/>
    </fill>
    <fill>
      <patternFill patternType="gray125"/>
    </fill>
    <fill>
      <patternFill patternType="solid">
        <fgColor rgb="001A2530"/>
        <bgColor rgb="001A2530"/>
      </patternFill>
    </fill>
    <fill>
      <patternFill patternType="solid">
        <fgColor rgb="00232F3E"/>
        <bgColor rgb="00232F3E"/>
      </patternFill>
    </fill>
    <fill>
      <patternFill patternType="solid">
        <fgColor rgb="00F7F9FA"/>
        <bgColor rgb="00F7F9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32" customWidth="1" min="2" max="2"/>
    <col width="19" customWidth="1" min="3" max="3"/>
  </cols>
  <sheetData>
    <row r="1" ht="40" customHeight="1">
      <c r="A1" s="1" t="inlineStr">
        <is>
          <t>Top 20 Software Houses in Pakistan</t>
        </is>
      </c>
    </row>
    <row r="2" ht="15" customHeight="1"/>
    <row r="3" ht="25" customHeight="1">
      <c r="A3" s="2" t="inlineStr">
        <is>
          <t>Company Name</t>
        </is>
      </c>
      <c r="B3" s="2" t="inlineStr">
        <is>
          <t>Founder(s)</t>
        </is>
      </c>
      <c r="C3" s="2" t="inlineStr">
        <is>
          <t>LinkedIn Page</t>
        </is>
      </c>
    </row>
    <row r="4" ht="20" customHeight="1">
      <c r="A4" s="3" t="inlineStr">
        <is>
          <t>Systems Limited</t>
        </is>
      </c>
      <c r="B4" s="3" t="inlineStr">
        <is>
          <t>Aezaz Hussain</t>
        </is>
      </c>
      <c r="C4" s="4">
        <f>HYPERLINK("https://www.linkedin.com/company/systems-limited", "View Profile")</f>
        <v/>
      </c>
    </row>
    <row r="5" ht="20" customHeight="1">
      <c r="A5" s="5" t="inlineStr">
        <is>
          <t>NetSol Technologies</t>
        </is>
      </c>
      <c r="B5" s="5" t="inlineStr">
        <is>
          <t>Salim Ghauri</t>
        </is>
      </c>
      <c r="C5" s="6">
        <f>HYPERLINK("https://www.linkedin.com/company/netsol-technologies-inc-", "View Profile")</f>
        <v/>
      </c>
    </row>
    <row r="6" ht="20" customHeight="1">
      <c r="A6" s="3" t="inlineStr">
        <is>
          <t>10Pearls</t>
        </is>
      </c>
      <c r="B6" s="3" t="inlineStr">
        <is>
          <t>Imran Aftab, Zeeshan Aftab</t>
        </is>
      </c>
      <c r="C6" s="4">
        <f>HYPERLINK("https://www.linkedin.com/company/10pearls", "View Profile")</f>
        <v/>
      </c>
    </row>
    <row r="7" ht="20" customHeight="1">
      <c r="A7" s="5" t="inlineStr">
        <is>
          <t>Devsinc</t>
        </is>
      </c>
      <c r="B7" s="5" t="inlineStr">
        <is>
          <t>Tanveer Shazi</t>
        </is>
      </c>
      <c r="C7" s="6">
        <f>HYPERLINK("https://www.linkedin.com/company/devsinc", "View Profile")</f>
        <v/>
      </c>
    </row>
    <row r="8" ht="20" customHeight="1">
      <c r="A8" s="3" t="inlineStr">
        <is>
          <t>Arbisoft</t>
        </is>
      </c>
      <c r="B8" s="3" t="inlineStr">
        <is>
          <t>Yasser Bashir</t>
        </is>
      </c>
      <c r="C8" s="4">
        <f>HYPERLINK("https://www.linkedin.com/company/arbisoft", "View Profile")</f>
        <v/>
      </c>
    </row>
    <row r="9" ht="20" customHeight="1">
      <c r="A9" s="5" t="inlineStr">
        <is>
          <t>VentureDive</t>
        </is>
      </c>
      <c r="B9" s="5" t="inlineStr">
        <is>
          <t>Atif Azim, Saad Fazil</t>
        </is>
      </c>
      <c r="C9" s="6">
        <f>HYPERLINK("https://www.linkedin.com/company/venturedive", "View Profile")</f>
        <v/>
      </c>
    </row>
    <row r="10" ht="20" customHeight="1">
      <c r="A10" s="3" t="inlineStr">
        <is>
          <t>Tkxel</t>
        </is>
      </c>
      <c r="B10" s="3" t="inlineStr">
        <is>
          <t>Umair Javed</t>
        </is>
      </c>
      <c r="C10" s="4">
        <f>HYPERLINK("https://www.linkedin.com/company/tkxel", "View Profile")</f>
        <v/>
      </c>
    </row>
    <row r="11" ht="20" customHeight="1">
      <c r="A11" s="5" t="inlineStr">
        <is>
          <t>Nextbridge</t>
        </is>
      </c>
      <c r="B11" s="5" t="inlineStr">
        <is>
          <t>Mubashir Mian</t>
        </is>
      </c>
      <c r="C11" s="6">
        <f>HYPERLINK("https://www.linkedin.com/company/nextbridge", "View Profile")</f>
        <v/>
      </c>
    </row>
    <row r="12" ht="20" customHeight="1">
      <c r="A12" s="3" t="inlineStr">
        <is>
          <t>Confiz</t>
        </is>
      </c>
      <c r="B12" s="3" t="inlineStr">
        <is>
          <t>Raza Saeed</t>
        </is>
      </c>
      <c r="C12" s="4">
        <f>HYPERLINK("https://www.linkedin.com/company/confiz", "View Profile")</f>
        <v/>
      </c>
    </row>
    <row r="13" ht="20" customHeight="1">
      <c r="A13" s="5" t="inlineStr">
        <is>
          <t>Techlogix</t>
        </is>
      </c>
      <c r="B13" s="5" t="inlineStr">
        <is>
          <t>Kewan Khawaja, Salman Akhtar</t>
        </is>
      </c>
      <c r="C13" s="6">
        <f>HYPERLINK("https://www.linkedin.com/company/techlogix", "View Profile")</f>
        <v/>
      </c>
    </row>
    <row r="14" ht="20" customHeight="1">
      <c r="A14" s="3" t="inlineStr">
        <is>
          <t>CureMD</t>
        </is>
      </c>
      <c r="B14" s="3" t="inlineStr">
        <is>
          <t>Bilal Hashmat</t>
        </is>
      </c>
      <c r="C14" s="4">
        <f>HYPERLINK("https://www.linkedin.com/company/curemd", "View Profile")</f>
        <v/>
      </c>
    </row>
    <row r="15" ht="20" customHeight="1">
      <c r="A15" s="5" t="inlineStr">
        <is>
          <t>Contour Software</t>
        </is>
      </c>
      <c r="B15" s="5" t="inlineStr">
        <is>
          <t>Asif Hasan</t>
        </is>
      </c>
      <c r="C15" s="6">
        <f>HYPERLINK("https://www.linkedin.com/company/contour-software", "View Profile")</f>
        <v/>
      </c>
    </row>
    <row r="16" ht="20" customHeight="1">
      <c r="A16" s="3" t="inlineStr">
        <is>
          <t>Folio3</t>
        </is>
      </c>
      <c r="B16" s="3" t="inlineStr">
        <is>
          <t>Adnan Lawai</t>
        </is>
      </c>
      <c r="C16" s="4">
        <f>HYPERLINK("https://www.linkedin.com/company/folio3", "View Profile")</f>
        <v/>
      </c>
    </row>
    <row r="17" ht="20" customHeight="1">
      <c r="A17" s="5" t="inlineStr">
        <is>
          <t>Afiniti</t>
        </is>
      </c>
      <c r="B17" s="5" t="inlineStr">
        <is>
          <t>Zia Chishti</t>
        </is>
      </c>
      <c r="C17" s="6">
        <f>HYPERLINK("https://www.linkedin.com/company/afiniti", "View Profile")</f>
        <v/>
      </c>
    </row>
    <row r="18" ht="20" customHeight="1">
      <c r="A18" s="3" t="inlineStr">
        <is>
          <t>Rolustech</t>
        </is>
      </c>
      <c r="B18" s="3" t="inlineStr">
        <is>
          <t>Shahrukh Riaz</t>
        </is>
      </c>
      <c r="C18" s="4">
        <f>HYPERLINK("https://www.linkedin.com/company/rolustech", "View Profile")</f>
        <v/>
      </c>
    </row>
    <row r="19" ht="20" customHeight="1">
      <c r="A19" s="5" t="inlineStr">
        <is>
          <t>Strategic Systems International (SSI)</t>
        </is>
      </c>
      <c r="B19" s="5" t="inlineStr">
        <is>
          <t>Shoaib Khan</t>
        </is>
      </c>
      <c r="C19" s="6">
        <f>HYPERLINK("https://www.linkedin.com/company/ssi-strategic-systems-international", "View Profile")</f>
        <v/>
      </c>
    </row>
    <row r="20" ht="20" customHeight="1">
      <c r="A20" s="3" t="inlineStr">
        <is>
          <t>Symmetry Group</t>
        </is>
      </c>
      <c r="B20" s="3" t="inlineStr">
        <is>
          <t>Sarfaraz Rehman</t>
        </is>
      </c>
      <c r="C20" s="4">
        <f>HYPERLINK("https://www.linkedin.com/company/symmetry-group-limited", "View Profile")</f>
        <v/>
      </c>
    </row>
    <row r="21" ht="20" customHeight="1">
      <c r="A21" s="5" t="inlineStr">
        <is>
          <t>Ozi Technology</t>
        </is>
      </c>
      <c r="B21" s="5" t="inlineStr">
        <is>
          <t>Usman Sheikh</t>
        </is>
      </c>
      <c r="C21" s="6">
        <f>HYPERLINK("https://www.linkedin.com/company/ozi-technology", "View Profile")</f>
        <v/>
      </c>
    </row>
    <row r="22" ht="20" customHeight="1">
      <c r="A22" s="3" t="inlineStr">
        <is>
          <t>Alpha Squad</t>
        </is>
      </c>
      <c r="B22" s="3" t="inlineStr">
        <is>
          <t>Saad N. Hamid</t>
        </is>
      </c>
      <c r="C22" s="4">
        <f>HYPERLINK("https://www.linkedin.com/company/alphasquad", "View Profile")</f>
        <v/>
      </c>
    </row>
    <row r="23" ht="20" customHeight="1">
      <c r="A23" s="5" t="inlineStr">
        <is>
          <t>Codup</t>
        </is>
      </c>
      <c r="B23" s="5" t="inlineStr">
        <is>
          <t>Asim Rashid</t>
        </is>
      </c>
      <c r="C23" s="6">
        <f>HYPERLINK("https://www.linkedin.com/company/codup.co", "View Profile")</f>
        <v/>
      </c>
    </row>
  </sheetData>
  <autoFilter ref="A3:C23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2026-06-18T07:49:57Z</dcterms:created>
  <dcterms:modified xmlns:dcterms="http://purl.org/dc/terms/" xmlns:xsi="http://www.w3.org/2001/XMLSchema-instance" xsi:type="dcterms:W3CDTF">2026-06-18T07:49:57Z</dcterms:modified>
</cp:coreProperties>
</file>